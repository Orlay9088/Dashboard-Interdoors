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suario\Desktop\Proyectos Activos\"/>
    </mc:Choice>
  </mc:AlternateContent>
  <xr:revisionPtr revIDLastSave="0" documentId="13_ncr:1_{C3239B06-AA30-49D4-A39B-4E9AF4C0817A}" xr6:coauthVersionLast="47" xr6:coauthVersionMax="47" xr10:uidLastSave="{00000000-0000-0000-0000-000000000000}"/>
  <bookViews>
    <workbookView xWindow="20385" yWindow="0" windowWidth="14610" windowHeight="15585" xr2:uid="{00000000-000D-0000-FFFF-FFFF00000000}"/>
  </bookViews>
  <sheets>
    <sheet name="Hoja1" sheetId="1" r:id="rId1"/>
  </sheets>
  <calcPr calcId="191029"/>
  <extLst>
    <ext uri="GoogleSheetsCustomDataVersion2">
      <go:sheetsCustomData xmlns:go="http://customooxmlschemas.google.com/" r:id="rId5" roundtripDataChecksum="F5q89BpTM4AkrcW/h8oXQCM7yonC+gSLgKpFxGPnMlo="/>
    </ext>
  </extLst>
</workbook>
</file>

<file path=xl/calcChain.xml><?xml version="1.0" encoding="utf-8"?>
<calcChain xmlns="http://schemas.openxmlformats.org/spreadsheetml/2006/main">
  <c r="I11" i="1" l="1"/>
  <c r="H79" i="1" l="1"/>
  <c r="D79" i="1"/>
  <c r="D82" i="1" s="1"/>
  <c r="E82" i="1" s="1"/>
  <c r="C79" i="1"/>
  <c r="I79" i="1" s="1"/>
  <c r="H77" i="1"/>
  <c r="H78" i="1" s="1"/>
  <c r="I80" i="1" s="1"/>
  <c r="G77" i="1"/>
  <c r="G70" i="1"/>
  <c r="G78" i="1" s="1"/>
  <c r="C70" i="1"/>
  <c r="E70" i="1" s="1"/>
  <c r="I69" i="1"/>
  <c r="E69" i="1"/>
  <c r="I68" i="1"/>
  <c r="E68" i="1"/>
  <c r="I67" i="1"/>
  <c r="E67" i="1"/>
  <c r="I66" i="1"/>
  <c r="E66" i="1"/>
  <c r="I65" i="1"/>
  <c r="E65" i="1"/>
  <c r="I64" i="1"/>
  <c r="E64" i="1"/>
  <c r="H59" i="1"/>
  <c r="D59" i="1"/>
  <c r="H58" i="1"/>
  <c r="I60" i="1" s="1"/>
  <c r="D58" i="1"/>
  <c r="H57" i="1"/>
  <c r="G57" i="1"/>
  <c r="D57" i="1"/>
  <c r="G50" i="1"/>
  <c r="G58" i="1" s="1"/>
  <c r="E50" i="1"/>
  <c r="D50" i="1"/>
  <c r="C50" i="1"/>
  <c r="I50" i="1" s="1"/>
  <c r="I49" i="1"/>
  <c r="E49" i="1"/>
  <c r="I48" i="1"/>
  <c r="E48" i="1"/>
  <c r="I47" i="1"/>
  <c r="E47" i="1"/>
  <c r="I46" i="1"/>
  <c r="E46" i="1"/>
  <c r="I45" i="1"/>
  <c r="E45" i="1"/>
  <c r="I44" i="1"/>
  <c r="E44" i="1"/>
  <c r="H39" i="1"/>
  <c r="D39" i="1"/>
  <c r="H38" i="1"/>
  <c r="I40" i="1" s="1"/>
  <c r="H37" i="1"/>
  <c r="G37" i="1"/>
  <c r="G30" i="1"/>
  <c r="G38" i="1" s="1"/>
  <c r="C30" i="1"/>
  <c r="I30" i="1" s="1"/>
  <c r="I29" i="1"/>
  <c r="E29" i="1"/>
  <c r="I28" i="1"/>
  <c r="E28" i="1"/>
  <c r="I27" i="1"/>
  <c r="E27" i="1"/>
  <c r="I26" i="1"/>
  <c r="E26" i="1"/>
  <c r="I25" i="1"/>
  <c r="E25" i="1"/>
  <c r="I24" i="1"/>
  <c r="E24" i="1"/>
  <c r="H19" i="1"/>
  <c r="I19" i="1" s="1"/>
  <c r="C19" i="1"/>
  <c r="D18" i="1"/>
  <c r="I20" i="1" s="1"/>
  <c r="H17" i="1"/>
  <c r="H18" i="1" s="1"/>
  <c r="G17" i="1"/>
  <c r="G18" i="1" s="1"/>
  <c r="F17" i="1"/>
  <c r="D17" i="1"/>
  <c r="D16" i="1"/>
  <c r="D15" i="1"/>
  <c r="D14" i="1"/>
  <c r="D13" i="1"/>
  <c r="D12" i="1"/>
  <c r="D11" i="1"/>
  <c r="I10" i="1"/>
  <c r="G10" i="1"/>
  <c r="F10" i="1"/>
  <c r="F18" i="1" s="1"/>
  <c r="E10" i="1"/>
  <c r="D10" i="1"/>
  <c r="C10" i="1"/>
  <c r="I9" i="1"/>
  <c r="D9" i="1"/>
  <c r="E9" i="1" s="1"/>
  <c r="I8" i="1"/>
  <c r="D8" i="1"/>
  <c r="E8" i="1" s="1"/>
  <c r="I7" i="1"/>
  <c r="D7" i="1"/>
  <c r="E7" i="1" s="1"/>
  <c r="M6" i="1"/>
  <c r="L6" i="1"/>
  <c r="I6" i="1"/>
  <c r="E6" i="1"/>
  <c r="D6" i="1"/>
  <c r="M5" i="1"/>
  <c r="N5" i="1" s="1"/>
  <c r="I5" i="1"/>
  <c r="E5" i="1"/>
  <c r="D5" i="1"/>
  <c r="M4" i="1"/>
  <c r="N4" i="1" s="1"/>
  <c r="I4" i="1"/>
  <c r="D4" i="1"/>
  <c r="E4" i="1" s="1"/>
  <c r="N6" i="1" l="1"/>
  <c r="C39" i="1"/>
  <c r="E30" i="1"/>
  <c r="D19" i="1"/>
  <c r="E19" i="1" s="1"/>
  <c r="E79" i="1"/>
  <c r="H60" i="1"/>
  <c r="D60" i="1" s="1"/>
  <c r="C59" i="1"/>
  <c r="E59" i="1" l="1"/>
  <c r="I59" i="1"/>
  <c r="I39" i="1"/>
  <c r="E39" i="1"/>
</calcChain>
</file>

<file path=xl/sharedStrings.xml><?xml version="1.0" encoding="utf-8"?>
<sst xmlns="http://schemas.openxmlformats.org/spreadsheetml/2006/main" count="105" uniqueCount="35">
  <si>
    <t>COMPAÑÍA</t>
  </si>
  <si>
    <t>AÑO</t>
  </si>
  <si>
    <t>MES</t>
  </si>
  <si>
    <t>REAL 2026</t>
  </si>
  <si>
    <t>PPTO 2026</t>
  </si>
  <si>
    <t>Cumplimiento</t>
  </si>
  <si>
    <t>REAL 2023</t>
  </si>
  <si>
    <t>REAL 2024</t>
  </si>
  <si>
    <t>Real 2025</t>
  </si>
  <si>
    <t>CREC</t>
  </si>
  <si>
    <t>CRECIMIENTO</t>
  </si>
  <si>
    <t>ENE</t>
  </si>
  <si>
    <t>PRESUPUESTO</t>
  </si>
  <si>
    <t>FEB</t>
  </si>
  <si>
    <t>PTO CONSTRUCCION</t>
  </si>
  <si>
    <t>MAR</t>
  </si>
  <si>
    <t>PART. CONSTRUCCION</t>
  </si>
  <si>
    <t>ABR</t>
  </si>
  <si>
    <t>MAY</t>
  </si>
  <si>
    <t>JUN</t>
  </si>
  <si>
    <t>SEMESTRE I</t>
  </si>
  <si>
    <t>JUL</t>
  </si>
  <si>
    <t>AGO</t>
  </si>
  <si>
    <t>SEP</t>
  </si>
  <si>
    <t>OCT</t>
  </si>
  <si>
    <t>NOV</t>
  </si>
  <si>
    <t>DIC</t>
  </si>
  <si>
    <t>SEMESTRE II</t>
  </si>
  <si>
    <t>TOTAL</t>
  </si>
  <si>
    <t>ACUMULADO</t>
  </si>
  <si>
    <t>DISTRIBUCION</t>
  </si>
  <si>
    <t>cumplimiento</t>
  </si>
  <si>
    <t>CONSTRUCCION</t>
  </si>
  <si>
    <t>CIERRES</t>
  </si>
  <si>
    <t>Cierres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</si>
</sst>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_-;\-&quot;$&quot;\ * #,##0_-;_-&quot;$&quot;\ * &quot;-&quot;_-;_-@"/>
    <numFmt numFmtId="165" formatCode="0.0%"/>
    <numFmt numFmtId="166" formatCode="_(&quot;$&quot;\ * #,##0_);_(&quot;$&quot;\ * \(#,##0\);_(&quot;$&quot;\ * &quot;-&quot;??_);_(@_)"/>
  </numFmts>
  <fonts count="11" x14ac:knownFonts="1">
    <font>
      <sz val="11"/>
      <color theme="1"/>
      <name val="Calibri"/>
      <scheme val="minor"/>
    </font>
    <font>
      <sz val="11"/>
      <color theme="1"/>
      <name val="Century Gothic"/>
    </font>
    <font>
      <b/>
      <sz val="11"/>
      <color theme="1"/>
      <name val="Century Gothic"/>
    </font>
    <font>
      <b/>
      <sz val="10"/>
      <color theme="1"/>
      <name val="Century Gothic"/>
    </font>
    <font>
      <sz val="10"/>
      <color theme="1"/>
      <name val="Century Gothic"/>
    </font>
    <font>
      <sz val="11"/>
      <color rgb="FFFF0000"/>
      <name val="Century Gothic"/>
    </font>
    <font>
      <b/>
      <sz val="11"/>
      <color rgb="FFFF0000"/>
      <name val="Century Gothic"/>
    </font>
    <font>
      <b/>
      <sz val="14"/>
      <color theme="1"/>
      <name val="Century Gothic"/>
    </font>
    <font>
      <b/>
      <sz val="14"/>
      <color rgb="FF0070C0"/>
      <name val="Century Gothic"/>
    </font>
    <font>
      <sz val="11"/>
      <color rgb="FFE7E6E6"/>
      <name val="Century Gothic"/>
    </font>
    <font>
      <sz val="11"/>
      <color rgb="FFD0CECE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/>
    </xf>
    <xf numFmtId="0" fontId="4" fillId="2" borderId="5" xfId="0" applyFont="1" applyFill="1" applyBorder="1" applyAlignment="1">
      <alignment horizontal="left" vertical="center" wrapText="1"/>
    </xf>
    <xf numFmtId="164" fontId="1" fillId="0" borderId="6" xfId="0" applyNumberFormat="1" applyFont="1" applyBorder="1"/>
    <xf numFmtId="164" fontId="1" fillId="0" borderId="7" xfId="0" applyNumberFormat="1" applyFont="1" applyBorder="1"/>
    <xf numFmtId="165" fontId="1" fillId="0" borderId="6" xfId="0" applyNumberFormat="1" applyFont="1" applyBorder="1" applyAlignment="1">
      <alignment horizontal="center"/>
    </xf>
    <xf numFmtId="164" fontId="1" fillId="0" borderId="8" xfId="0" applyNumberFormat="1" applyFont="1" applyBorder="1"/>
    <xf numFmtId="165" fontId="1" fillId="0" borderId="9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4" fontId="1" fillId="0" borderId="0" xfId="0" applyNumberFormat="1" applyFont="1"/>
    <xf numFmtId="0" fontId="4" fillId="2" borderId="10" xfId="0" applyFont="1" applyFill="1" applyBorder="1" applyAlignment="1">
      <alignment horizontal="left" vertical="center" wrapText="1"/>
    </xf>
    <xf numFmtId="164" fontId="1" fillId="0" borderId="1" xfId="0" applyNumberFormat="1" applyFont="1" applyBorder="1"/>
    <xf numFmtId="164" fontId="1" fillId="0" borderId="11" xfId="0" applyNumberFormat="1" applyFont="1" applyBorder="1"/>
    <xf numFmtId="165" fontId="1" fillId="0" borderId="1" xfId="0" applyNumberFormat="1" applyFont="1" applyBorder="1" applyAlignment="1">
      <alignment horizontal="center"/>
    </xf>
    <xf numFmtId="164" fontId="1" fillId="0" borderId="12" xfId="0" applyNumberFormat="1" applyFont="1" applyBorder="1"/>
    <xf numFmtId="165" fontId="1" fillId="0" borderId="13" xfId="0" applyNumberFormat="1" applyFont="1" applyBorder="1" applyAlignment="1">
      <alignment horizontal="center"/>
    </xf>
    <xf numFmtId="0" fontId="4" fillId="2" borderId="14" xfId="0" applyFont="1" applyFill="1" applyBorder="1" applyAlignment="1">
      <alignment horizontal="left" vertical="center" wrapText="1"/>
    </xf>
    <xf numFmtId="164" fontId="1" fillId="0" borderId="15" xfId="0" applyNumberFormat="1" applyFont="1" applyBorder="1"/>
    <xf numFmtId="165" fontId="1" fillId="0" borderId="15" xfId="0" applyNumberFormat="1" applyFont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0" fontId="4" fillId="2" borderId="17" xfId="0" applyFont="1" applyFill="1" applyBorder="1" applyAlignment="1">
      <alignment horizontal="left" vertical="center" wrapText="1"/>
    </xf>
    <xf numFmtId="164" fontId="1" fillId="0" borderId="18" xfId="0" applyNumberFormat="1" applyFont="1" applyBorder="1"/>
    <xf numFmtId="165" fontId="1" fillId="0" borderId="18" xfId="0" applyNumberFormat="1" applyFont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3" fillId="2" borderId="2" xfId="0" applyNumberFormat="1" applyFont="1" applyFill="1" applyBorder="1" applyAlignment="1">
      <alignment horizontal="left" vertical="center" wrapText="1"/>
    </xf>
    <xf numFmtId="164" fontId="2" fillId="0" borderId="3" xfId="0" applyNumberFormat="1" applyFont="1" applyBorder="1"/>
    <xf numFmtId="164" fontId="2" fillId="0" borderId="20" xfId="0" applyNumberFormat="1" applyFont="1" applyBorder="1"/>
    <xf numFmtId="165" fontId="1" fillId="0" borderId="3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21" xfId="0" applyNumberFormat="1" applyFont="1" applyBorder="1" applyAlignment="1">
      <alignment horizontal="center"/>
    </xf>
    <xf numFmtId="165" fontId="1" fillId="0" borderId="22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165" fontId="5" fillId="0" borderId="15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left" vertical="center" wrapText="1"/>
    </xf>
    <xf numFmtId="164" fontId="6" fillId="0" borderId="6" xfId="0" applyNumberFormat="1" applyFont="1" applyBorder="1"/>
    <xf numFmtId="164" fontId="2" fillId="0" borderId="6" xfId="0" applyNumberFormat="1" applyFont="1" applyBorder="1"/>
    <xf numFmtId="0" fontId="3" fillId="2" borderId="14" xfId="0" applyFont="1" applyFill="1" applyBorder="1" applyAlignment="1">
      <alignment horizontal="left" vertical="center" wrapText="1"/>
    </xf>
    <xf numFmtId="164" fontId="6" fillId="0" borderId="15" xfId="0" applyNumberFormat="1" applyFont="1" applyBorder="1"/>
    <xf numFmtId="164" fontId="2" fillId="0" borderId="15" xfId="0" applyNumberFormat="1" applyFont="1" applyBorder="1"/>
    <xf numFmtId="165" fontId="6" fillId="0" borderId="16" xfId="0" applyNumberFormat="1" applyFont="1" applyBorder="1" applyAlignment="1">
      <alignment horizontal="center"/>
    </xf>
    <xf numFmtId="0" fontId="7" fillId="2" borderId="23" xfId="0" applyFont="1" applyFill="1" applyBorder="1"/>
    <xf numFmtId="164" fontId="7" fillId="2" borderId="24" xfId="0" applyNumberFormat="1" applyFont="1" applyFill="1" applyBorder="1"/>
    <xf numFmtId="165" fontId="7" fillId="2" borderId="24" xfId="0" applyNumberFormat="1" applyFont="1" applyFill="1" applyBorder="1" applyAlignment="1">
      <alignment horizontal="center"/>
    </xf>
    <xf numFmtId="165" fontId="7" fillId="2" borderId="25" xfId="0" applyNumberFormat="1" applyFont="1" applyFill="1" applyBorder="1" applyAlignment="1">
      <alignment horizontal="center"/>
    </xf>
    <xf numFmtId="165" fontId="8" fillId="2" borderId="26" xfId="0" applyNumberFormat="1" applyFont="1" applyFill="1" applyBorder="1" applyAlignment="1">
      <alignment horizontal="center"/>
    </xf>
    <xf numFmtId="9" fontId="1" fillId="0" borderId="0" xfId="0" applyNumberFormat="1" applyFont="1"/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166" fontId="1" fillId="0" borderId="30" xfId="0" applyNumberFormat="1" applyFont="1" applyBorder="1"/>
    <xf numFmtId="0" fontId="4" fillId="2" borderId="31" xfId="0" applyFont="1" applyFill="1" applyBorder="1" applyAlignment="1">
      <alignment horizontal="left" vertical="center" wrapText="1"/>
    </xf>
    <xf numFmtId="164" fontId="1" fillId="0" borderId="32" xfId="0" applyNumberFormat="1" applyFont="1" applyBorder="1"/>
    <xf numFmtId="165" fontId="1" fillId="0" borderId="32" xfId="0" applyNumberFormat="1" applyFont="1" applyBorder="1" applyAlignment="1">
      <alignment horizontal="center"/>
    </xf>
    <xf numFmtId="165" fontId="1" fillId="0" borderId="33" xfId="0" applyNumberFormat="1" applyFont="1" applyBorder="1" applyAlignment="1">
      <alignment horizontal="center"/>
    </xf>
    <xf numFmtId="164" fontId="5" fillId="0" borderId="6" xfId="0" applyNumberFormat="1" applyFont="1" applyBorder="1"/>
    <xf numFmtId="164" fontId="5" fillId="0" borderId="1" xfId="0" applyNumberFormat="1" applyFont="1" applyBorder="1"/>
    <xf numFmtId="164" fontId="5" fillId="0" borderId="15" xfId="0" applyNumberFormat="1" applyFont="1" applyBorder="1"/>
    <xf numFmtId="3" fontId="3" fillId="2" borderId="34" xfId="0" applyNumberFormat="1" applyFont="1" applyFill="1" applyBorder="1" applyAlignment="1">
      <alignment horizontal="left" vertical="center" wrapText="1"/>
    </xf>
    <xf numFmtId="165" fontId="1" fillId="0" borderId="35" xfId="0" applyNumberFormat="1" applyFont="1" applyBorder="1" applyAlignment="1">
      <alignment horizontal="center"/>
    </xf>
    <xf numFmtId="165" fontId="1" fillId="0" borderId="36" xfId="0" applyNumberFormat="1" applyFont="1" applyBorder="1" applyAlignment="1">
      <alignment horizontal="center"/>
    </xf>
    <xf numFmtId="164" fontId="5" fillId="0" borderId="18" xfId="0" applyNumberFormat="1" applyFont="1" applyBorder="1"/>
    <xf numFmtId="165" fontId="5" fillId="0" borderId="18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5" fontId="6" fillId="0" borderId="15" xfId="0" applyNumberFormat="1" applyFont="1" applyBorder="1" applyAlignment="1">
      <alignment horizontal="center"/>
    </xf>
    <xf numFmtId="165" fontId="7" fillId="2" borderId="24" xfId="0" applyNumberFormat="1" applyFont="1" applyFill="1" applyBorder="1"/>
    <xf numFmtId="164" fontId="7" fillId="2" borderId="37" xfId="0" applyNumberFormat="1" applyFont="1" applyFill="1" applyBorder="1"/>
    <xf numFmtId="165" fontId="7" fillId="2" borderId="25" xfId="0" applyNumberFormat="1" applyFont="1" applyFill="1" applyBorder="1"/>
    <xf numFmtId="164" fontId="9" fillId="0" borderId="0" xfId="0" applyNumberFormat="1" applyFont="1"/>
    <xf numFmtId="0" fontId="9" fillId="0" borderId="0" xfId="0" applyFont="1"/>
    <xf numFmtId="165" fontId="8" fillId="2" borderId="1" xfId="0" applyNumberFormat="1" applyFont="1" applyFill="1" applyBorder="1" applyAlignment="1">
      <alignment horizontal="center"/>
    </xf>
    <xf numFmtId="0" fontId="10" fillId="0" borderId="0" xfId="0" applyFont="1"/>
    <xf numFmtId="9" fontId="1" fillId="0" borderId="6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164" fontId="1" fillId="0" borderId="38" xfId="0" applyNumberFormat="1" applyFont="1" applyBorder="1"/>
    <xf numFmtId="9" fontId="1" fillId="0" borderId="15" xfId="0" applyNumberFormat="1" applyFont="1" applyBorder="1" applyAlignment="1">
      <alignment horizontal="center"/>
    </xf>
    <xf numFmtId="164" fontId="1" fillId="0" borderId="39" xfId="0" applyNumberFormat="1" applyFont="1" applyBorder="1"/>
    <xf numFmtId="9" fontId="1" fillId="0" borderId="18" xfId="0" applyNumberFormat="1" applyFont="1" applyBorder="1" applyAlignment="1">
      <alignment horizontal="center"/>
    </xf>
    <xf numFmtId="164" fontId="10" fillId="0" borderId="0" xfId="0" applyNumberFormat="1" applyFont="1"/>
    <xf numFmtId="9" fontId="1" fillId="0" borderId="32" xfId="0" applyNumberFormat="1" applyFont="1" applyBorder="1" applyAlignment="1">
      <alignment horizontal="center"/>
    </xf>
    <xf numFmtId="3" fontId="3" fillId="2" borderId="27" xfId="0" applyNumberFormat="1" applyFont="1" applyFill="1" applyBorder="1" applyAlignment="1">
      <alignment horizontal="left" vertical="center" wrapText="1"/>
    </xf>
    <xf numFmtId="164" fontId="2" fillId="0" borderId="35" xfId="0" applyNumberFormat="1" applyFont="1" applyBorder="1"/>
    <xf numFmtId="9" fontId="1" fillId="0" borderId="35" xfId="0" applyNumberFormat="1" applyFont="1" applyBorder="1" applyAlignment="1">
      <alignment horizontal="center"/>
    </xf>
    <xf numFmtId="165" fontId="1" fillId="0" borderId="40" xfId="0" applyNumberFormat="1" applyFont="1" applyBorder="1" applyAlignment="1">
      <alignment horizontal="center"/>
    </xf>
    <xf numFmtId="164" fontId="5" fillId="0" borderId="0" xfId="0" applyNumberFormat="1" applyFont="1"/>
    <xf numFmtId="9" fontId="5" fillId="0" borderId="6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5" fillId="0" borderId="1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B1" workbookViewId="0">
      <selection activeCell="C12" sqref="C12"/>
    </sheetView>
  </sheetViews>
  <sheetFormatPr baseColWidth="10" defaultColWidth="14.42578125" defaultRowHeight="15" customHeight="1" x14ac:dyDescent="0.25"/>
  <cols>
    <col min="1" max="1" width="9.42578125" customWidth="1"/>
    <col min="2" max="2" width="19" customWidth="1"/>
    <col min="3" max="4" width="18.5703125" customWidth="1"/>
    <col min="5" max="5" width="13.42578125" customWidth="1"/>
    <col min="6" max="7" width="13.85546875" customWidth="1"/>
    <col min="8" max="8" width="18.5703125" customWidth="1"/>
    <col min="9" max="9" width="10.5703125" customWidth="1"/>
    <col min="10" max="10" width="4.7109375" customWidth="1"/>
    <col min="11" max="11" width="24.5703125" customWidth="1"/>
    <col min="12" max="12" width="17.42578125" customWidth="1"/>
    <col min="13" max="13" width="15.5703125" customWidth="1"/>
    <col min="14" max="15" width="14.42578125" customWidth="1"/>
    <col min="16" max="26" width="11.425781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3">
      <c r="A2" s="1"/>
      <c r="B2" s="99" t="s">
        <v>0</v>
      </c>
      <c r="C2" s="100"/>
      <c r="D2" s="100"/>
      <c r="E2" s="100"/>
      <c r="F2" s="100"/>
      <c r="G2" s="100"/>
      <c r="H2" s="100"/>
      <c r="I2" s="100"/>
      <c r="J2" s="1"/>
      <c r="K2" s="2" t="s">
        <v>1</v>
      </c>
      <c r="L2" s="3">
        <v>2026</v>
      </c>
      <c r="M2" s="3">
        <v>2027</v>
      </c>
      <c r="N2" s="3">
        <v>2028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3">
      <c r="A3" s="1"/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6" t="s">
        <v>9</v>
      </c>
      <c r="J3" s="1"/>
      <c r="K3" s="2" t="s">
        <v>10</v>
      </c>
      <c r="L3" s="7">
        <v>0.17</v>
      </c>
      <c r="M3" s="7">
        <v>0.25</v>
      </c>
      <c r="N3" s="7">
        <v>0.2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3">
      <c r="A4" s="1"/>
      <c r="B4" s="8" t="s">
        <v>11</v>
      </c>
      <c r="C4" s="9">
        <v>4598638</v>
      </c>
      <c r="D4" s="10">
        <f t="shared" ref="D4:D18" si="0">D24+D44</f>
        <v>5185052</v>
      </c>
      <c r="E4" s="11">
        <f t="shared" ref="E4:E10" si="1">C4/D4</f>
        <v>0.88690296645048117</v>
      </c>
      <c r="F4" s="12">
        <v>5148076</v>
      </c>
      <c r="G4" s="9">
        <v>3752789</v>
      </c>
      <c r="H4" s="9">
        <v>3870383</v>
      </c>
      <c r="I4" s="13">
        <f t="shared" ref="I4:I11" si="2">(C4-H4)/H4</f>
        <v>0.18816096494843018</v>
      </c>
      <c r="J4" s="1"/>
      <c r="K4" s="14" t="s">
        <v>12</v>
      </c>
      <c r="L4" s="15">
        <v>66500000</v>
      </c>
      <c r="M4" s="15">
        <f>L4*1.25</f>
        <v>83125000</v>
      </c>
      <c r="N4" s="15">
        <f>M4*1.2030075</f>
        <v>99999998.4375</v>
      </c>
      <c r="O4" s="1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">
      <c r="A5" s="1"/>
      <c r="B5" s="17" t="s">
        <v>13</v>
      </c>
      <c r="C5" s="18">
        <v>4010940</v>
      </c>
      <c r="D5" s="19">
        <f t="shared" si="0"/>
        <v>5290111</v>
      </c>
      <c r="E5" s="20">
        <f t="shared" si="1"/>
        <v>0.75819581101417344</v>
      </c>
      <c r="F5" s="21">
        <v>5322839</v>
      </c>
      <c r="G5" s="18">
        <v>4855606</v>
      </c>
      <c r="H5" s="18">
        <v>4217752</v>
      </c>
      <c r="I5" s="22">
        <f t="shared" si="2"/>
        <v>-4.9033703261832366E-2</v>
      </c>
      <c r="J5" s="1"/>
      <c r="K5" s="2" t="s">
        <v>14</v>
      </c>
      <c r="L5" s="18">
        <v>25000000</v>
      </c>
      <c r="M5" s="18">
        <f t="shared" ref="M5:N5" si="3">L5*1.3</f>
        <v>32500000</v>
      </c>
      <c r="N5" s="18">
        <f t="shared" si="3"/>
        <v>42250000</v>
      </c>
      <c r="O5" s="16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">
      <c r="A6" s="1"/>
      <c r="B6" s="23" t="s">
        <v>15</v>
      </c>
      <c r="C6" s="24">
        <v>4929857</v>
      </c>
      <c r="D6" s="24">
        <f t="shared" si="0"/>
        <v>5186840</v>
      </c>
      <c r="E6" s="25">
        <f t="shared" si="1"/>
        <v>0.95045480485227996</v>
      </c>
      <c r="F6" s="24">
        <v>4747285</v>
      </c>
      <c r="G6" s="24">
        <v>3737641</v>
      </c>
      <c r="H6" s="24">
        <v>4566318</v>
      </c>
      <c r="I6" s="26">
        <f t="shared" si="2"/>
        <v>7.9613158785699994E-2</v>
      </c>
      <c r="J6" s="1"/>
      <c r="K6" s="2" t="s">
        <v>16</v>
      </c>
      <c r="L6" s="7">
        <f t="shared" ref="L6:N6" si="4">L5/L4</f>
        <v>0.37593984962406013</v>
      </c>
      <c r="M6" s="7">
        <f t="shared" si="4"/>
        <v>0.39097744360902253</v>
      </c>
      <c r="N6" s="7">
        <f t="shared" si="4"/>
        <v>0.42250000660156262</v>
      </c>
      <c r="O6" s="16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27" t="s">
        <v>17</v>
      </c>
      <c r="C7" s="28">
        <v>4859125</v>
      </c>
      <c r="D7" s="28">
        <f t="shared" si="0"/>
        <v>5099312</v>
      </c>
      <c r="E7" s="29">
        <f t="shared" si="1"/>
        <v>0.95289815567276526</v>
      </c>
      <c r="F7" s="28">
        <v>3649731</v>
      </c>
      <c r="G7" s="28">
        <v>4030436</v>
      </c>
      <c r="H7" s="28">
        <v>3725939</v>
      </c>
      <c r="I7" s="30">
        <f t="shared" si="2"/>
        <v>0.30413434036359693</v>
      </c>
      <c r="J7" s="1"/>
      <c r="K7" s="1"/>
      <c r="L7" s="16"/>
      <c r="M7" s="16"/>
      <c r="N7" s="16"/>
      <c r="O7" s="16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3">
      <c r="A8" s="1"/>
      <c r="B8" s="17" t="s">
        <v>18</v>
      </c>
      <c r="C8" s="18">
        <v>5943324</v>
      </c>
      <c r="D8" s="18">
        <f t="shared" si="0"/>
        <v>5249492</v>
      </c>
      <c r="E8" s="20">
        <f t="shared" si="1"/>
        <v>1.1321712653338647</v>
      </c>
      <c r="F8" s="18">
        <v>5569421</v>
      </c>
      <c r="G8" s="18">
        <v>4225995</v>
      </c>
      <c r="H8" s="18">
        <v>5671929</v>
      </c>
      <c r="I8" s="22">
        <f t="shared" si="2"/>
        <v>4.7848800646129383E-2</v>
      </c>
      <c r="J8" s="1"/>
      <c r="K8" s="1"/>
      <c r="L8" s="16"/>
      <c r="M8" s="31"/>
      <c r="N8" s="31"/>
      <c r="O8" s="16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3">
      <c r="A9" s="1"/>
      <c r="B9" s="23" t="s">
        <v>19</v>
      </c>
      <c r="C9" s="24">
        <v>4926094</v>
      </c>
      <c r="D9" s="24">
        <f t="shared" si="0"/>
        <v>5655508</v>
      </c>
      <c r="E9" s="20">
        <f t="shared" si="1"/>
        <v>0.87102590960882731</v>
      </c>
      <c r="F9" s="24">
        <v>5549665</v>
      </c>
      <c r="G9" s="24">
        <v>3096307</v>
      </c>
      <c r="H9" s="24">
        <v>4537554</v>
      </c>
      <c r="I9" s="22">
        <f t="shared" si="2"/>
        <v>8.5627631098164347E-2</v>
      </c>
      <c r="J9" s="1"/>
      <c r="K9" s="1"/>
      <c r="L9" s="16"/>
      <c r="M9" s="32"/>
      <c r="N9" s="32"/>
      <c r="O9" s="16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thickBot="1" x14ac:dyDescent="0.35">
      <c r="A10" s="1"/>
      <c r="B10" s="33" t="s">
        <v>20</v>
      </c>
      <c r="C10" s="34">
        <f>SUM(C4:C9)</f>
        <v>29267978</v>
      </c>
      <c r="D10" s="35">
        <f t="shared" si="0"/>
        <v>31666315</v>
      </c>
      <c r="E10" s="36">
        <f t="shared" si="1"/>
        <v>0.92426220101707446</v>
      </c>
      <c r="F10" s="34">
        <f t="shared" ref="F10:G10" si="5">SUM(F4:F9)</f>
        <v>29987017</v>
      </c>
      <c r="G10" s="34">
        <f t="shared" si="5"/>
        <v>23698774</v>
      </c>
      <c r="H10" s="34">
        <v>26589875</v>
      </c>
      <c r="I10" s="37">
        <f t="shared" si="2"/>
        <v>0.10071890146155256</v>
      </c>
      <c r="J10" s="1"/>
      <c r="K10" s="1"/>
      <c r="L10" s="16"/>
      <c r="M10" s="32"/>
      <c r="N10" s="32"/>
      <c r="O10" s="1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thickBot="1" x14ac:dyDescent="0.35">
      <c r="A11" s="1"/>
      <c r="B11" s="8" t="s">
        <v>21</v>
      </c>
      <c r="C11" s="24">
        <v>4403364</v>
      </c>
      <c r="D11" s="9">
        <f t="shared" si="0"/>
        <v>5963672</v>
      </c>
      <c r="E11" s="29"/>
      <c r="F11" s="9">
        <v>5056654</v>
      </c>
      <c r="G11" s="9">
        <v>4506761</v>
      </c>
      <c r="H11" s="9">
        <v>5477430</v>
      </c>
      <c r="I11" s="37">
        <f>(C11-H11)/H11</f>
        <v>-0.19608940689337884</v>
      </c>
      <c r="J11" s="1"/>
      <c r="K11" s="1"/>
      <c r="L11" s="16"/>
      <c r="M11" s="16"/>
      <c r="N11" s="16"/>
      <c r="O11" s="1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3">
      <c r="A12" s="1"/>
      <c r="B12" s="17" t="s">
        <v>22</v>
      </c>
      <c r="C12" s="28"/>
      <c r="D12" s="18">
        <f t="shared" si="0"/>
        <v>5884645</v>
      </c>
      <c r="E12" s="29"/>
      <c r="F12" s="28">
        <v>4228606</v>
      </c>
      <c r="G12" s="28">
        <v>3909546</v>
      </c>
      <c r="H12" s="28">
        <v>3873937</v>
      </c>
      <c r="I12" s="30"/>
      <c r="J12" s="1"/>
      <c r="K12" s="1"/>
      <c r="L12" s="16"/>
      <c r="M12" s="16"/>
      <c r="N12" s="16"/>
      <c r="O12" s="1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">
      <c r="A13" s="1"/>
      <c r="B13" s="23" t="s">
        <v>23</v>
      </c>
      <c r="C13" s="24"/>
      <c r="D13" s="24">
        <f t="shared" si="0"/>
        <v>5891160</v>
      </c>
      <c r="E13" s="38"/>
      <c r="F13" s="24">
        <v>4468253</v>
      </c>
      <c r="G13" s="24">
        <v>3460808</v>
      </c>
      <c r="H13" s="24">
        <v>5796452</v>
      </c>
      <c r="I13" s="39"/>
      <c r="J13" s="1"/>
      <c r="K13" s="1"/>
      <c r="L13" s="16"/>
      <c r="M13" s="16"/>
      <c r="N13" s="16"/>
      <c r="O13" s="1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1"/>
      <c r="B14" s="8" t="s">
        <v>24</v>
      </c>
      <c r="C14" s="9"/>
      <c r="D14" s="9">
        <f t="shared" si="0"/>
        <v>5801809</v>
      </c>
      <c r="E14" s="40"/>
      <c r="F14" s="9">
        <v>4011524</v>
      </c>
      <c r="G14" s="9">
        <v>4603563</v>
      </c>
      <c r="H14" s="9">
        <v>5888033</v>
      </c>
      <c r="I14" s="13"/>
      <c r="J14" s="1"/>
      <c r="K14" s="1"/>
      <c r="L14" s="16"/>
      <c r="M14" s="16"/>
      <c r="N14" s="16"/>
      <c r="O14" s="1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3">
      <c r="A15" s="1"/>
      <c r="B15" s="17" t="s">
        <v>25</v>
      </c>
      <c r="C15" s="18"/>
      <c r="D15" s="18">
        <f t="shared" si="0"/>
        <v>5917313</v>
      </c>
      <c r="E15" s="41"/>
      <c r="F15" s="18">
        <v>4107443</v>
      </c>
      <c r="G15" s="18">
        <v>3369541</v>
      </c>
      <c r="H15" s="18">
        <v>5071942</v>
      </c>
      <c r="I15" s="22"/>
      <c r="J15" s="1"/>
      <c r="K15" s="1"/>
      <c r="L15" s="16"/>
      <c r="M15" s="16"/>
      <c r="N15" s="16"/>
      <c r="O15" s="16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3">
      <c r="A16" s="1"/>
      <c r="B16" s="23" t="s">
        <v>26</v>
      </c>
      <c r="C16" s="24"/>
      <c r="D16" s="24">
        <f t="shared" si="0"/>
        <v>5381872</v>
      </c>
      <c r="E16" s="42"/>
      <c r="F16" s="24">
        <v>3846442</v>
      </c>
      <c r="G16" s="24">
        <v>3622163</v>
      </c>
      <c r="H16" s="24">
        <v>3933821</v>
      </c>
      <c r="I16" s="26"/>
      <c r="J16" s="1"/>
      <c r="K16" s="1"/>
      <c r="L16" s="16"/>
      <c r="M16" s="16"/>
      <c r="N16" s="16"/>
      <c r="O16" s="1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1"/>
      <c r="B17" s="43" t="s">
        <v>27</v>
      </c>
      <c r="C17" s="44"/>
      <c r="D17" s="45">
        <f t="shared" si="0"/>
        <v>34840471</v>
      </c>
      <c r="E17" s="40"/>
      <c r="F17" s="45">
        <f t="shared" ref="F17:H17" si="6">SUM(F11:F16)</f>
        <v>25718922</v>
      </c>
      <c r="G17" s="45">
        <f t="shared" si="6"/>
        <v>23472382</v>
      </c>
      <c r="H17" s="45">
        <f t="shared" si="6"/>
        <v>30041615</v>
      </c>
      <c r="I17" s="13"/>
      <c r="J17" s="1"/>
      <c r="K17" s="1"/>
      <c r="L17" s="16"/>
      <c r="M17" s="16"/>
      <c r="N17" s="16"/>
      <c r="O17" s="1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1"/>
      <c r="B18" s="46" t="s">
        <v>28</v>
      </c>
      <c r="C18" s="47"/>
      <c r="D18" s="48">
        <f t="shared" si="0"/>
        <v>66506786</v>
      </c>
      <c r="E18" s="42"/>
      <c r="F18" s="48">
        <f t="shared" ref="F18:H18" si="7">F10+F17</f>
        <v>55705939</v>
      </c>
      <c r="G18" s="48">
        <f t="shared" si="7"/>
        <v>47171156</v>
      </c>
      <c r="H18" s="48">
        <f t="shared" si="7"/>
        <v>56631490</v>
      </c>
      <c r="I18" s="49"/>
      <c r="J18" s="1"/>
      <c r="K18" s="1"/>
      <c r="L18" s="16"/>
      <c r="M18" s="16"/>
      <c r="N18" s="16"/>
      <c r="O18" s="16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">
      <c r="A19" s="1"/>
      <c r="B19" s="50" t="s">
        <v>29</v>
      </c>
      <c r="C19" s="51">
        <f t="shared" ref="C19:D19" si="8">SUM(C4:C9)</f>
        <v>29267978</v>
      </c>
      <c r="D19" s="51">
        <f t="shared" si="8"/>
        <v>31666315</v>
      </c>
      <c r="E19" s="52">
        <f>C19/D19</f>
        <v>0.92426220101707446</v>
      </c>
      <c r="F19" s="51"/>
      <c r="G19" s="51"/>
      <c r="H19" s="51">
        <f>SUM(H4:H9)</f>
        <v>26589875</v>
      </c>
      <c r="I19" s="53">
        <f>(C19-H19)/H19</f>
        <v>0.10071890146155256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3">
      <c r="A20" s="1"/>
      <c r="B20" s="1"/>
      <c r="C20" s="1"/>
      <c r="D20" s="1"/>
      <c r="E20" s="1"/>
      <c r="F20" s="1"/>
      <c r="G20" s="1"/>
      <c r="H20" s="1"/>
      <c r="I20" s="54">
        <f>(D18-H18)/H18</f>
        <v>0.17437817722966498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3">
      <c r="A22" s="1"/>
      <c r="B22" s="99" t="s">
        <v>30</v>
      </c>
      <c r="C22" s="100"/>
      <c r="D22" s="100"/>
      <c r="E22" s="100"/>
      <c r="F22" s="100"/>
      <c r="G22" s="100"/>
      <c r="H22" s="100"/>
      <c r="I22" s="100"/>
      <c r="J22" s="1"/>
      <c r="K22" s="5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3">
      <c r="A23" s="1"/>
      <c r="B23" s="56" t="s">
        <v>2</v>
      </c>
      <c r="C23" s="57" t="s">
        <v>3</v>
      </c>
      <c r="D23" s="57" t="s">
        <v>4</v>
      </c>
      <c r="E23" s="57" t="s">
        <v>31</v>
      </c>
      <c r="F23" s="57" t="s">
        <v>6</v>
      </c>
      <c r="G23" s="57" t="s">
        <v>7</v>
      </c>
      <c r="H23" s="57" t="s">
        <v>8</v>
      </c>
      <c r="I23" s="58" t="s">
        <v>9</v>
      </c>
      <c r="J23" s="1"/>
      <c r="K23" s="1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">
      <c r="A24" s="1"/>
      <c r="B24" s="8" t="s">
        <v>11</v>
      </c>
      <c r="C24" s="9">
        <v>2654231</v>
      </c>
      <c r="D24" s="9">
        <v>3610499.9999999995</v>
      </c>
      <c r="E24" s="11">
        <f t="shared" ref="E24:E30" si="9">C24/D24</f>
        <v>0.73514222406868868</v>
      </c>
      <c r="F24" s="9">
        <v>3419889</v>
      </c>
      <c r="G24" s="9">
        <v>2914584</v>
      </c>
      <c r="H24" s="9">
        <v>2866478</v>
      </c>
      <c r="I24" s="13">
        <f t="shared" ref="I24:I30" si="10">(C24-H24)/H24</f>
        <v>-7.4044524325670741E-2</v>
      </c>
      <c r="J24" s="1"/>
      <c r="K24" s="1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3">
      <c r="A25" s="1"/>
      <c r="B25" s="17" t="s">
        <v>13</v>
      </c>
      <c r="C25" s="18">
        <v>3440096</v>
      </c>
      <c r="D25" s="18">
        <v>3527500.0000000005</v>
      </c>
      <c r="E25" s="20">
        <f t="shared" si="9"/>
        <v>0.97522211197732089</v>
      </c>
      <c r="F25" s="18">
        <v>4253566</v>
      </c>
      <c r="G25" s="18">
        <v>3287401</v>
      </c>
      <c r="H25" s="18">
        <v>2887298</v>
      </c>
      <c r="I25" s="22">
        <f t="shared" si="10"/>
        <v>0.19145858861814749</v>
      </c>
      <c r="J25" s="1"/>
      <c r="K25" s="1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">
      <c r="A26" s="1"/>
      <c r="B26" s="23" t="s">
        <v>15</v>
      </c>
      <c r="C26" s="24">
        <v>2735995</v>
      </c>
      <c r="D26" s="24">
        <v>3237000</v>
      </c>
      <c r="E26" s="25">
        <f t="shared" si="9"/>
        <v>0.84522551745443308</v>
      </c>
      <c r="F26" s="24">
        <v>3405382</v>
      </c>
      <c r="G26" s="59">
        <v>2640466</v>
      </c>
      <c r="H26" s="24">
        <v>2261860</v>
      </c>
      <c r="I26" s="26">
        <f t="shared" si="10"/>
        <v>0.20962172725102349</v>
      </c>
      <c r="J26" s="1"/>
      <c r="K26" s="1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3">
      <c r="A27" s="1"/>
      <c r="B27" s="8" t="s">
        <v>17</v>
      </c>
      <c r="C27" s="9">
        <v>3142126</v>
      </c>
      <c r="D27" s="9">
        <v>2988000</v>
      </c>
      <c r="E27" s="11">
        <f t="shared" si="9"/>
        <v>1.0515816599732262</v>
      </c>
      <c r="F27" s="9">
        <v>2660605</v>
      </c>
      <c r="G27" s="9">
        <v>2922329</v>
      </c>
      <c r="H27" s="9">
        <v>2139797</v>
      </c>
      <c r="I27" s="13">
        <f t="shared" si="10"/>
        <v>0.46842247185130176</v>
      </c>
      <c r="J27" s="1"/>
      <c r="K27" s="1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">
      <c r="A28" s="1"/>
      <c r="B28" s="17" t="s">
        <v>18</v>
      </c>
      <c r="C28" s="18">
        <v>3796053</v>
      </c>
      <c r="D28" s="18">
        <v>3112500</v>
      </c>
      <c r="E28" s="20">
        <f t="shared" si="9"/>
        <v>1.219615421686747</v>
      </c>
      <c r="F28" s="18">
        <v>2917180</v>
      </c>
      <c r="G28" s="18">
        <v>2539751</v>
      </c>
      <c r="H28" s="18">
        <v>3742814</v>
      </c>
      <c r="I28" s="22">
        <f t="shared" si="10"/>
        <v>1.4224324265111759E-2</v>
      </c>
      <c r="J28" s="1"/>
      <c r="K28" s="1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">
      <c r="A29" s="1"/>
      <c r="B29" s="60" t="s">
        <v>19</v>
      </c>
      <c r="C29" s="61">
        <v>3820815</v>
      </c>
      <c r="D29" s="61">
        <v>3444500</v>
      </c>
      <c r="E29" s="62">
        <f t="shared" si="9"/>
        <v>1.109250979822906</v>
      </c>
      <c r="F29" s="61">
        <v>2719321</v>
      </c>
      <c r="G29" s="61">
        <v>2208146</v>
      </c>
      <c r="H29" s="61">
        <v>2831110</v>
      </c>
      <c r="I29" s="63">
        <f t="shared" si="10"/>
        <v>0.34958196608397413</v>
      </c>
      <c r="J29" s="1"/>
      <c r="K29" s="1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">
      <c r="A30" s="1"/>
      <c r="B30" s="33" t="s">
        <v>20</v>
      </c>
      <c r="C30" s="34">
        <f>SUM(C24:C29)</f>
        <v>19589316</v>
      </c>
      <c r="D30" s="34">
        <v>19920000</v>
      </c>
      <c r="E30" s="36">
        <f t="shared" si="9"/>
        <v>0.98339939759036143</v>
      </c>
      <c r="F30" s="34">
        <v>19375943</v>
      </c>
      <c r="G30" s="34">
        <f>SUM(G24:G29)</f>
        <v>16512677</v>
      </c>
      <c r="H30" s="34">
        <v>16729357</v>
      </c>
      <c r="I30" s="37">
        <f t="shared" si="10"/>
        <v>0.17095450829341499</v>
      </c>
      <c r="J30" s="1"/>
      <c r="K30" s="1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">
      <c r="A31" s="1"/>
      <c r="B31" s="8" t="s">
        <v>21</v>
      </c>
      <c r="C31" s="9"/>
      <c r="D31" s="9">
        <v>3652000</v>
      </c>
      <c r="E31" s="11"/>
      <c r="F31" s="9">
        <v>2750034</v>
      </c>
      <c r="G31" s="9">
        <v>3094322</v>
      </c>
      <c r="H31" s="9">
        <v>3680010</v>
      </c>
      <c r="I31" s="13"/>
      <c r="J31" s="1"/>
      <c r="K31" s="1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">
      <c r="A32" s="1"/>
      <c r="B32" s="17" t="s">
        <v>22</v>
      </c>
      <c r="C32" s="18"/>
      <c r="D32" s="18">
        <v>3693500</v>
      </c>
      <c r="E32" s="20"/>
      <c r="F32" s="18">
        <v>2831182</v>
      </c>
      <c r="G32" s="18">
        <v>2748784</v>
      </c>
      <c r="H32" s="18">
        <v>3454134</v>
      </c>
      <c r="I32" s="22"/>
      <c r="J32" s="1"/>
      <c r="K32" s="1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">
      <c r="A33" s="1"/>
      <c r="B33" s="23" t="s">
        <v>23</v>
      </c>
      <c r="C33" s="24"/>
      <c r="D33" s="24">
        <v>3610499.9999999995</v>
      </c>
      <c r="E33" s="25"/>
      <c r="F33" s="24">
        <v>2591795</v>
      </c>
      <c r="G33" s="24">
        <v>1956580</v>
      </c>
      <c r="H33" s="24">
        <v>3010363</v>
      </c>
      <c r="I33" s="26"/>
      <c r="J33" s="1"/>
      <c r="K33" s="1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">
      <c r="A34" s="1"/>
      <c r="B34" s="8" t="s">
        <v>24</v>
      </c>
      <c r="C34" s="64"/>
      <c r="D34" s="9">
        <v>3568999.9999999995</v>
      </c>
      <c r="E34" s="40"/>
      <c r="F34" s="9">
        <v>2387268</v>
      </c>
      <c r="G34" s="9">
        <v>2477571</v>
      </c>
      <c r="H34" s="9">
        <v>3220697</v>
      </c>
      <c r="I34" s="13"/>
      <c r="J34" s="1"/>
      <c r="K34" s="1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">
      <c r="A35" s="1"/>
      <c r="B35" s="17" t="s">
        <v>25</v>
      </c>
      <c r="C35" s="65"/>
      <c r="D35" s="18">
        <v>3735000</v>
      </c>
      <c r="E35" s="41"/>
      <c r="F35" s="18">
        <v>2446123</v>
      </c>
      <c r="G35" s="18">
        <v>2303924</v>
      </c>
      <c r="H35" s="18">
        <v>3129076</v>
      </c>
      <c r="I35" s="22"/>
      <c r="J35" s="1"/>
      <c r="K35" s="1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">
      <c r="A36" s="1"/>
      <c r="B36" s="23" t="s">
        <v>26</v>
      </c>
      <c r="C36" s="66"/>
      <c r="D36" s="24">
        <v>3320000</v>
      </c>
      <c r="E36" s="42"/>
      <c r="F36" s="24">
        <v>1929345</v>
      </c>
      <c r="G36" s="24">
        <v>2351633</v>
      </c>
      <c r="H36" s="24">
        <v>2210146</v>
      </c>
      <c r="I36" s="26"/>
      <c r="J36" s="1"/>
      <c r="K36" s="16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">
      <c r="A37" s="1"/>
      <c r="B37" s="43" t="s">
        <v>27</v>
      </c>
      <c r="C37" s="44"/>
      <c r="D37" s="45">
        <v>21579999.999999996</v>
      </c>
      <c r="E37" s="40"/>
      <c r="F37" s="45">
        <v>14935747</v>
      </c>
      <c r="G37" s="45">
        <f t="shared" ref="G37:H37" si="11">SUM(G31:G36)</f>
        <v>14932814</v>
      </c>
      <c r="H37" s="45">
        <f t="shared" si="11"/>
        <v>18704426</v>
      </c>
      <c r="I37" s="13"/>
      <c r="J37" s="1"/>
      <c r="K37" s="1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1"/>
      <c r="B38" s="46" t="s">
        <v>28</v>
      </c>
      <c r="C38" s="47"/>
      <c r="D38" s="48">
        <v>41500000</v>
      </c>
      <c r="E38" s="42"/>
      <c r="F38" s="48">
        <v>34311690</v>
      </c>
      <c r="G38" s="48">
        <f t="shared" ref="G38:H38" si="12">G30+G37</f>
        <v>31445491</v>
      </c>
      <c r="H38" s="48">
        <f t="shared" si="12"/>
        <v>35433783</v>
      </c>
      <c r="I38" s="49"/>
      <c r="J38" s="1"/>
      <c r="K38" s="1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1"/>
      <c r="B39" s="50" t="s">
        <v>29</v>
      </c>
      <c r="C39" s="51">
        <f t="shared" ref="C39:D39" si="13">SUM(C30)</f>
        <v>19589316</v>
      </c>
      <c r="D39" s="51">
        <f t="shared" si="13"/>
        <v>19920000</v>
      </c>
      <c r="E39" s="52">
        <f>C39/D39</f>
        <v>0.98339939759036143</v>
      </c>
      <c r="F39" s="51"/>
      <c r="G39" s="51"/>
      <c r="H39" s="51">
        <f>SUM(H30)</f>
        <v>16729357</v>
      </c>
      <c r="I39" s="53">
        <f>(C39-H39)/H39</f>
        <v>0.17095450829341499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1"/>
      <c r="B40" s="1"/>
      <c r="C40" s="1"/>
      <c r="D40" s="1"/>
      <c r="E40" s="1"/>
      <c r="F40" s="1"/>
      <c r="G40" s="1"/>
      <c r="H40" s="1"/>
      <c r="I40" s="54">
        <f>(D38-H38)/H38</f>
        <v>0.17119868347108183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">
      <c r="A42" s="1"/>
      <c r="B42" s="99" t="s">
        <v>32</v>
      </c>
      <c r="C42" s="100"/>
      <c r="D42" s="100"/>
      <c r="E42" s="100"/>
      <c r="F42" s="100"/>
      <c r="G42" s="100"/>
      <c r="H42" s="100"/>
      <c r="I42" s="10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">
      <c r="A43" s="1"/>
      <c r="B43" s="56" t="s">
        <v>2</v>
      </c>
      <c r="C43" s="57" t="s">
        <v>3</v>
      </c>
      <c r="D43" s="57" t="s">
        <v>4</v>
      </c>
      <c r="E43" s="57" t="s">
        <v>31</v>
      </c>
      <c r="F43" s="57" t="s">
        <v>6</v>
      </c>
      <c r="G43" s="57" t="s">
        <v>7</v>
      </c>
      <c r="H43" s="57" t="s">
        <v>8</v>
      </c>
      <c r="I43" s="58" t="s">
        <v>9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">
      <c r="A44" s="1"/>
      <c r="B44" s="8" t="s">
        <v>11</v>
      </c>
      <c r="C44" s="9">
        <v>1900949</v>
      </c>
      <c r="D44" s="9">
        <v>1574552</v>
      </c>
      <c r="E44" s="11">
        <f t="shared" ref="E44:E50" si="14">C44/D44</f>
        <v>1.2072951544312287</v>
      </c>
      <c r="F44" s="9">
        <v>1728187</v>
      </c>
      <c r="G44" s="9">
        <v>838205</v>
      </c>
      <c r="H44" s="9">
        <v>965966</v>
      </c>
      <c r="I44" s="13">
        <f t="shared" ref="I44:I50" si="15">(C44-H44)/H44</f>
        <v>0.96792537211454643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">
      <c r="A45" s="1"/>
      <c r="B45" s="17" t="s">
        <v>13</v>
      </c>
      <c r="C45" s="18">
        <v>525875</v>
      </c>
      <c r="D45" s="18">
        <v>1762611</v>
      </c>
      <c r="E45" s="20">
        <f t="shared" si="14"/>
        <v>0.29835000462382227</v>
      </c>
      <c r="F45" s="18">
        <v>1069273</v>
      </c>
      <c r="G45" s="18">
        <v>1568205</v>
      </c>
      <c r="H45" s="18">
        <v>1292263</v>
      </c>
      <c r="I45" s="22">
        <f t="shared" si="15"/>
        <v>-0.59305884328499692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">
      <c r="A46" s="1"/>
      <c r="B46" s="23" t="s">
        <v>15</v>
      </c>
      <c r="C46" s="59">
        <v>2143904</v>
      </c>
      <c r="D46" s="24">
        <v>1949840</v>
      </c>
      <c r="E46" s="25">
        <f t="shared" si="14"/>
        <v>1.0995281664136545</v>
      </c>
      <c r="F46" s="24">
        <v>1341903</v>
      </c>
      <c r="G46" s="59">
        <v>1062959</v>
      </c>
      <c r="H46" s="59">
        <v>2263587</v>
      </c>
      <c r="I46" s="26">
        <f t="shared" si="15"/>
        <v>-5.2873161049255012E-2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">
      <c r="A47" s="1"/>
      <c r="B47" s="8" t="s">
        <v>17</v>
      </c>
      <c r="C47" s="9">
        <v>1672109</v>
      </c>
      <c r="D47" s="9">
        <v>2111312</v>
      </c>
      <c r="E47" s="11">
        <f t="shared" si="14"/>
        <v>0.79197626878452831</v>
      </c>
      <c r="F47" s="9">
        <v>989126</v>
      </c>
      <c r="G47" s="9">
        <v>1075432</v>
      </c>
      <c r="H47" s="9">
        <v>1546493</v>
      </c>
      <c r="I47" s="13">
        <f t="shared" si="15"/>
        <v>8.1226361839335834E-2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">
      <c r="A48" s="1"/>
      <c r="B48" s="17" t="s">
        <v>18</v>
      </c>
      <c r="C48" s="18">
        <v>2092777</v>
      </c>
      <c r="D48" s="18">
        <v>2136992</v>
      </c>
      <c r="E48" s="20">
        <f t="shared" si="14"/>
        <v>0.97930970261002381</v>
      </c>
      <c r="F48" s="18">
        <v>2652241</v>
      </c>
      <c r="G48" s="18">
        <v>1653359</v>
      </c>
      <c r="H48" s="18">
        <v>1888797</v>
      </c>
      <c r="I48" s="22">
        <f t="shared" si="15"/>
        <v>0.10799466538754562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">
      <c r="A49" s="1"/>
      <c r="B49" s="23" t="s">
        <v>19</v>
      </c>
      <c r="C49" s="24">
        <v>1055957</v>
      </c>
      <c r="D49" s="24">
        <v>2211008</v>
      </c>
      <c r="E49" s="20">
        <f t="shared" si="14"/>
        <v>0.47759076403160911</v>
      </c>
      <c r="F49" s="24">
        <v>2830344</v>
      </c>
      <c r="G49" s="24">
        <v>850753</v>
      </c>
      <c r="H49" s="24">
        <v>1663714</v>
      </c>
      <c r="I49" s="22">
        <f t="shared" si="15"/>
        <v>-0.36530136790337764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">
      <c r="A50" s="1"/>
      <c r="B50" s="67" t="s">
        <v>20</v>
      </c>
      <c r="C50" s="35">
        <f t="shared" ref="C50:D50" si="16">SUM(C44:C49)</f>
        <v>9391571</v>
      </c>
      <c r="D50" s="35">
        <f t="shared" si="16"/>
        <v>11746315</v>
      </c>
      <c r="E50" s="68">
        <f t="shared" si="14"/>
        <v>0.79953338557666809</v>
      </c>
      <c r="F50" s="35">
        <v>10611074</v>
      </c>
      <c r="G50" s="35">
        <f>SUM(G44:G49)</f>
        <v>7048913</v>
      </c>
      <c r="H50" s="35">
        <v>9620820</v>
      </c>
      <c r="I50" s="69">
        <f t="shared" si="15"/>
        <v>-2.3828426267199679E-2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">
      <c r="A51" s="1"/>
      <c r="B51" s="8" t="s">
        <v>21</v>
      </c>
      <c r="C51" s="9"/>
      <c r="D51" s="9">
        <v>2311672</v>
      </c>
      <c r="E51" s="11"/>
      <c r="F51" s="9">
        <v>2306620</v>
      </c>
      <c r="G51" s="9">
        <v>1373319</v>
      </c>
      <c r="H51" s="9">
        <v>1756321</v>
      </c>
      <c r="I51" s="1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">
      <c r="A52" s="1"/>
      <c r="B52" s="17" t="s">
        <v>22</v>
      </c>
      <c r="C52" s="18"/>
      <c r="D52" s="18">
        <v>2191145</v>
      </c>
      <c r="E52" s="20"/>
      <c r="F52" s="18">
        <v>1397424</v>
      </c>
      <c r="G52" s="18">
        <v>1125611</v>
      </c>
      <c r="H52" s="18">
        <v>383998</v>
      </c>
      <c r="I52" s="2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">
      <c r="A53" s="1"/>
      <c r="B53" s="23" t="s">
        <v>23</v>
      </c>
      <c r="C53" s="24"/>
      <c r="D53" s="24">
        <v>2280660</v>
      </c>
      <c r="E53" s="25"/>
      <c r="F53" s="24">
        <v>1876458</v>
      </c>
      <c r="G53" s="24">
        <v>1504228</v>
      </c>
      <c r="H53" s="24">
        <v>2685074</v>
      </c>
      <c r="I53" s="2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">
      <c r="A54" s="1"/>
      <c r="B54" s="27" t="s">
        <v>24</v>
      </c>
      <c r="C54" s="70"/>
      <c r="D54" s="28">
        <v>2232809</v>
      </c>
      <c r="E54" s="71"/>
      <c r="F54" s="28">
        <v>1624256</v>
      </c>
      <c r="G54" s="28">
        <v>2090549</v>
      </c>
      <c r="H54" s="28">
        <v>2625269</v>
      </c>
      <c r="I54" s="3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1"/>
      <c r="B55" s="17" t="s">
        <v>25</v>
      </c>
      <c r="C55" s="65"/>
      <c r="D55" s="18">
        <v>2182313</v>
      </c>
      <c r="E55" s="41"/>
      <c r="F55" s="18">
        <v>1141000</v>
      </c>
      <c r="G55" s="18">
        <v>1028316</v>
      </c>
      <c r="H55" s="18">
        <v>1892601</v>
      </c>
      <c r="I55" s="2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">
      <c r="A56" s="1"/>
      <c r="B56" s="23" t="s">
        <v>26</v>
      </c>
      <c r="C56" s="66"/>
      <c r="D56" s="24">
        <v>2061872</v>
      </c>
      <c r="E56" s="42"/>
      <c r="F56" s="24">
        <v>1504663</v>
      </c>
      <c r="G56" s="24">
        <v>1231683</v>
      </c>
      <c r="H56" s="24">
        <v>1683497</v>
      </c>
      <c r="I56" s="26"/>
      <c r="J56" s="1"/>
      <c r="K56" s="1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">
      <c r="A57" s="1"/>
      <c r="B57" s="43" t="s">
        <v>27</v>
      </c>
      <c r="C57" s="44"/>
      <c r="D57" s="45">
        <f>SUM(D51:D56)</f>
        <v>13260471</v>
      </c>
      <c r="E57" s="72"/>
      <c r="F57" s="45">
        <v>9850421</v>
      </c>
      <c r="G57" s="45">
        <f t="shared" ref="G57:H57" si="17">SUM(G51:G56)</f>
        <v>8353706</v>
      </c>
      <c r="H57" s="45">
        <f t="shared" si="17"/>
        <v>11026760</v>
      </c>
      <c r="I57" s="13"/>
      <c r="J57" s="1"/>
      <c r="K57" s="16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">
      <c r="A58" s="1"/>
      <c r="B58" s="46" t="s">
        <v>28</v>
      </c>
      <c r="C58" s="47"/>
      <c r="D58" s="48">
        <f>D50+D57</f>
        <v>25006786</v>
      </c>
      <c r="E58" s="73"/>
      <c r="F58" s="48">
        <v>20461495</v>
      </c>
      <c r="G58" s="48">
        <f t="shared" ref="G58:H58" si="18">G50+G57</f>
        <v>15402619</v>
      </c>
      <c r="H58" s="48">
        <f t="shared" si="18"/>
        <v>20647580</v>
      </c>
      <c r="I58" s="49"/>
      <c r="J58" s="1"/>
      <c r="K58" s="16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">
      <c r="A59" s="1"/>
      <c r="B59" s="50" t="s">
        <v>29</v>
      </c>
      <c r="C59" s="51">
        <f t="shared" ref="C59:D59" si="19">SUM(C50)</f>
        <v>9391571</v>
      </c>
      <c r="D59" s="51">
        <f t="shared" si="19"/>
        <v>11746315</v>
      </c>
      <c r="E59" s="74">
        <f>C59/D59</f>
        <v>0.79953338557666809</v>
      </c>
      <c r="F59" s="51"/>
      <c r="G59" s="51"/>
      <c r="H59" s="75">
        <f>SUM(H50)</f>
        <v>9620820</v>
      </c>
      <c r="I59" s="76">
        <f>(C59-H59)/H59</f>
        <v>-2.3828426267199679E-2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">
      <c r="A60" s="1"/>
      <c r="B60" s="1"/>
      <c r="C60" s="1"/>
      <c r="D60" s="77">
        <f>H60*8*12</f>
        <v>27530106.666666664</v>
      </c>
      <c r="E60" s="78"/>
      <c r="F60" s="78"/>
      <c r="G60" s="78"/>
      <c r="H60" s="77">
        <f>H58/6/12</f>
        <v>286771.94444444444</v>
      </c>
      <c r="I60" s="79">
        <f>(D58-H58)/H58</f>
        <v>0.2111243060930143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">
      <c r="A62" s="1"/>
      <c r="B62" s="99" t="s">
        <v>33</v>
      </c>
      <c r="C62" s="100"/>
      <c r="D62" s="100"/>
      <c r="E62" s="100"/>
      <c r="F62" s="100"/>
      <c r="G62" s="100"/>
      <c r="H62" s="100"/>
      <c r="I62" s="10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">
      <c r="A63" s="1"/>
      <c r="B63" s="56" t="s">
        <v>2</v>
      </c>
      <c r="C63" s="57" t="s">
        <v>34</v>
      </c>
      <c r="D63" s="57" t="s">
        <v>4</v>
      </c>
      <c r="E63" s="57" t="s">
        <v>31</v>
      </c>
      <c r="F63" s="57" t="s">
        <v>6</v>
      </c>
      <c r="G63" s="57" t="s">
        <v>7</v>
      </c>
      <c r="H63" s="57" t="s">
        <v>8</v>
      </c>
      <c r="I63" s="58" t="s">
        <v>9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">
      <c r="A64" s="80"/>
      <c r="B64" s="8" t="s">
        <v>11</v>
      </c>
      <c r="C64" s="9">
        <v>677695</v>
      </c>
      <c r="D64" s="10">
        <v>1875000</v>
      </c>
      <c r="E64" s="81">
        <f t="shared" ref="E64:E70" si="20">C64/D64</f>
        <v>0.36143733333333333</v>
      </c>
      <c r="F64" s="12">
        <v>433533</v>
      </c>
      <c r="G64" s="9">
        <v>607842</v>
      </c>
      <c r="H64" s="10">
        <v>2494502</v>
      </c>
      <c r="I64" s="13">
        <f t="shared" ref="I64:I69" si="21">(C64-H64)/H64</f>
        <v>-0.72832453130925534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">
      <c r="A65" s="80"/>
      <c r="B65" s="17" t="s">
        <v>13</v>
      </c>
      <c r="C65" s="18">
        <v>2428110</v>
      </c>
      <c r="D65" s="19">
        <v>2625000</v>
      </c>
      <c r="E65" s="82">
        <f t="shared" si="20"/>
        <v>0.92499428571428577</v>
      </c>
      <c r="F65" s="21">
        <v>2112104</v>
      </c>
      <c r="G65" s="18">
        <v>885986</v>
      </c>
      <c r="H65" s="19">
        <v>2184248</v>
      </c>
      <c r="I65" s="22">
        <f t="shared" si="21"/>
        <v>0.11164574718621695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">
      <c r="A66" s="80"/>
      <c r="B66" s="23" t="s">
        <v>15</v>
      </c>
      <c r="C66" s="24">
        <v>577450</v>
      </c>
      <c r="D66" s="83">
        <v>2500000</v>
      </c>
      <c r="E66" s="84">
        <f t="shared" si="20"/>
        <v>0.23097999999999999</v>
      </c>
      <c r="F66" s="85">
        <v>975175</v>
      </c>
      <c r="G66" s="24">
        <v>1070283</v>
      </c>
      <c r="H66" s="83">
        <v>1637642</v>
      </c>
      <c r="I66" s="26">
        <f t="shared" si="21"/>
        <v>-0.6473893561596491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">
      <c r="A67" s="80"/>
      <c r="B67" s="27" t="s">
        <v>17</v>
      </c>
      <c r="C67" s="28">
        <v>454049</v>
      </c>
      <c r="D67" s="28">
        <v>2187500</v>
      </c>
      <c r="E67" s="86">
        <f t="shared" si="20"/>
        <v>0.20756525714285715</v>
      </c>
      <c r="F67" s="28">
        <v>950948</v>
      </c>
      <c r="G67" s="28">
        <v>351146</v>
      </c>
      <c r="H67" s="28">
        <v>2813952</v>
      </c>
      <c r="I67" s="30">
        <f t="shared" si="21"/>
        <v>-0.83864365845614997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">
      <c r="A68" s="87"/>
      <c r="B68" s="17" t="s">
        <v>18</v>
      </c>
      <c r="C68" s="18">
        <v>1293199</v>
      </c>
      <c r="D68" s="18">
        <v>2250000</v>
      </c>
      <c r="E68" s="82">
        <f t="shared" si="20"/>
        <v>0.57475511111111111</v>
      </c>
      <c r="F68" s="18">
        <v>597162</v>
      </c>
      <c r="G68" s="18">
        <v>539518</v>
      </c>
      <c r="H68" s="18">
        <v>3710644</v>
      </c>
      <c r="I68" s="22">
        <f t="shared" si="21"/>
        <v>-0.65148933716088098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">
      <c r="A69" s="87"/>
      <c r="B69" s="60" t="s">
        <v>19</v>
      </c>
      <c r="C69" s="18">
        <v>773959</v>
      </c>
      <c r="D69" s="61">
        <v>2500000</v>
      </c>
      <c r="E69" s="88">
        <f t="shared" si="20"/>
        <v>0.30958360000000001</v>
      </c>
      <c r="F69" s="61">
        <v>928138</v>
      </c>
      <c r="G69" s="61">
        <v>1879979</v>
      </c>
      <c r="H69" s="18">
        <v>333645</v>
      </c>
      <c r="I69" s="63">
        <f t="shared" si="21"/>
        <v>1.31970807295179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">
      <c r="A70" s="80"/>
      <c r="B70" s="89" t="s">
        <v>20</v>
      </c>
      <c r="C70" s="90">
        <f>SUM(C64:C69)</f>
        <v>6204462</v>
      </c>
      <c r="D70" s="90">
        <v>13937500</v>
      </c>
      <c r="E70" s="91">
        <f t="shared" si="20"/>
        <v>0.44516319282511213</v>
      </c>
      <c r="F70" s="90">
        <v>5997060</v>
      </c>
      <c r="G70" s="90">
        <f>SUM(G64:G69)</f>
        <v>5334754</v>
      </c>
      <c r="H70" s="90">
        <v>13174633</v>
      </c>
      <c r="I70" s="92">
        <v>-0.65148933716088098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">
      <c r="A71" s="87"/>
      <c r="B71" s="8" t="s">
        <v>21</v>
      </c>
      <c r="C71" s="9"/>
      <c r="D71" s="9">
        <v>2250000</v>
      </c>
      <c r="E71" s="11"/>
      <c r="F71" s="9">
        <v>268821</v>
      </c>
      <c r="G71" s="9">
        <v>447265</v>
      </c>
      <c r="H71" s="9">
        <v>3440459</v>
      </c>
      <c r="I71" s="1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">
      <c r="A72" s="80"/>
      <c r="B72" s="17" t="s">
        <v>22</v>
      </c>
      <c r="C72" s="18"/>
      <c r="D72" s="18">
        <v>3000000</v>
      </c>
      <c r="E72" s="20"/>
      <c r="F72" s="18">
        <v>1178525</v>
      </c>
      <c r="G72" s="18">
        <v>1049782</v>
      </c>
      <c r="H72" s="18">
        <v>116434</v>
      </c>
      <c r="I72" s="2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">
      <c r="A73" s="93"/>
      <c r="B73" s="23" t="s">
        <v>23</v>
      </c>
      <c r="C73" s="18"/>
      <c r="D73" s="24">
        <v>2250000</v>
      </c>
      <c r="E73" s="20"/>
      <c r="F73" s="24">
        <v>1106006</v>
      </c>
      <c r="G73" s="24">
        <v>522119</v>
      </c>
      <c r="H73" s="18">
        <v>26000</v>
      </c>
      <c r="I73" s="2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">
      <c r="A74" s="80"/>
      <c r="B74" s="8" t="s">
        <v>24</v>
      </c>
      <c r="C74" s="64"/>
      <c r="D74" s="9">
        <v>2187500</v>
      </c>
      <c r="E74" s="94"/>
      <c r="F74" s="9">
        <v>1180597</v>
      </c>
      <c r="G74" s="9">
        <v>1363295</v>
      </c>
      <c r="H74" s="9">
        <v>4551338</v>
      </c>
      <c r="I74" s="1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">
      <c r="A75" s="80"/>
      <c r="B75" s="17" t="s">
        <v>25</v>
      </c>
      <c r="C75" s="65"/>
      <c r="D75" s="18">
        <v>3125000</v>
      </c>
      <c r="E75" s="95"/>
      <c r="F75" s="18">
        <v>334210</v>
      </c>
      <c r="G75" s="18">
        <v>1167793</v>
      </c>
      <c r="H75" s="18">
        <v>220592</v>
      </c>
      <c r="I75" s="2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">
      <c r="A76" s="93"/>
      <c r="B76" s="23" t="s">
        <v>26</v>
      </c>
      <c r="C76" s="66"/>
      <c r="D76" s="24">
        <v>3250000</v>
      </c>
      <c r="E76" s="96"/>
      <c r="F76" s="24">
        <v>3081435</v>
      </c>
      <c r="G76" s="24">
        <v>6501903</v>
      </c>
      <c r="H76" s="24">
        <v>1503101</v>
      </c>
      <c r="I76" s="2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">
      <c r="A77" s="80"/>
      <c r="B77" s="43" t="s">
        <v>27</v>
      </c>
      <c r="C77" s="44"/>
      <c r="D77" s="45">
        <v>16062500</v>
      </c>
      <c r="E77" s="94"/>
      <c r="F77" s="45">
        <v>7149594</v>
      </c>
      <c r="G77" s="45">
        <f t="shared" ref="G77:H77" si="22">SUM(G71:G76)</f>
        <v>11052157</v>
      </c>
      <c r="H77" s="45">
        <f t="shared" si="22"/>
        <v>9857924</v>
      </c>
      <c r="I77" s="97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">
      <c r="A78" s="80"/>
      <c r="B78" s="46" t="s">
        <v>28</v>
      </c>
      <c r="C78" s="47"/>
      <c r="D78" s="48">
        <v>30000000</v>
      </c>
      <c r="E78" s="96"/>
      <c r="F78" s="48">
        <v>13146654</v>
      </c>
      <c r="G78" s="48">
        <f t="shared" ref="G78:H78" si="23">G70+G77</f>
        <v>16386911</v>
      </c>
      <c r="H78" s="48">
        <f t="shared" si="23"/>
        <v>23032557</v>
      </c>
      <c r="I78" s="4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">
      <c r="A79" s="80"/>
      <c r="B79" s="50" t="s">
        <v>29</v>
      </c>
      <c r="C79" s="51">
        <f t="shared" ref="C79:D79" si="24">SUM(C64:C69)</f>
        <v>6204462</v>
      </c>
      <c r="D79" s="51">
        <f t="shared" si="24"/>
        <v>13937500</v>
      </c>
      <c r="E79" s="52">
        <f>C79/D79</f>
        <v>0.44516319282511213</v>
      </c>
      <c r="F79" s="51"/>
      <c r="G79" s="51"/>
      <c r="H79" s="51">
        <f>SUM(H70)</f>
        <v>13174633</v>
      </c>
      <c r="I79" s="53">
        <f>(C79-H79)/H79</f>
        <v>-0.52905997457386478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">
      <c r="A80" s="1"/>
      <c r="B80" s="1"/>
      <c r="C80" s="16"/>
      <c r="D80" s="98">
        <v>26000000</v>
      </c>
      <c r="E80" s="1"/>
      <c r="F80" s="1"/>
      <c r="G80" s="1"/>
      <c r="H80" s="1"/>
      <c r="I80" s="54">
        <f>(D78-H78)/H78</f>
        <v>0.30250410321355115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">
      <c r="A82" s="1"/>
      <c r="B82" s="1"/>
      <c r="C82" s="87"/>
      <c r="D82" s="16">
        <f>D79-C79</f>
        <v>7733038</v>
      </c>
      <c r="E82" s="16">
        <f>D82/7</f>
        <v>1104719.7142857143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">
      <c r="A83" s="1"/>
      <c r="B83" s="1"/>
      <c r="C83" s="8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I2"/>
    <mergeCell ref="B22:I22"/>
    <mergeCell ref="B42:I42"/>
    <mergeCell ref="B62:I6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INTERDOORS SAS</dc:creator>
  <cp:lastModifiedBy>Mateo Restrepo</cp:lastModifiedBy>
  <dcterms:created xsi:type="dcterms:W3CDTF">2026-07-27T13:47:03Z</dcterms:created>
  <dcterms:modified xsi:type="dcterms:W3CDTF">2026-07-29T21:07:41Z</dcterms:modified>
</cp:coreProperties>
</file>